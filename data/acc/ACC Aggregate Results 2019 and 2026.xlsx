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ditions" sheetId="2" state="visible" r:id="rId2"/>
    <sheet xmlns:r="http://schemas.openxmlformats.org/officeDocument/2006/relationships" name="Titles per Decade" sheetId="3" state="visible" r:id="rId3"/>
    <sheet xmlns:r="http://schemas.openxmlformats.org/officeDocument/2006/relationships" name="Titles per 5yr" sheetId="4" state="visible" r:id="rId4"/>
    <sheet xmlns:r="http://schemas.openxmlformats.org/officeDocument/2006/relationships" name="Languages" sheetId="5" state="visible" r:id="rId5"/>
    <sheet xmlns:r="http://schemas.openxmlformats.org/officeDocument/2006/relationships" name="Types" sheetId="6" state="visible" r:id="rId6"/>
    <sheet xmlns:r="http://schemas.openxmlformats.org/officeDocument/2006/relationships" name="Drift Steps" sheetId="7" state="visible" r:id="rId7"/>
    <sheet xmlns:r="http://schemas.openxmlformats.org/officeDocument/2006/relationships" name="Coherence" sheetId="8" state="visible" r:id="rId8"/>
    <sheet xmlns:r="http://schemas.openxmlformats.org/officeDocument/2006/relationships" name="Topic Shares" sheetId="9" state="visible" r:id="rId9"/>
    <sheet xmlns:r="http://schemas.openxmlformats.org/officeDocument/2006/relationships" name="Topic by Decade" sheetId="10" state="visible" r:id="rId10"/>
    <sheet xmlns:r="http://schemas.openxmlformats.org/officeDocument/2006/relationships" name="Parser Accurac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Dated titles per decade: 2019 edition and 2026 additions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'Titles per Decade'!B4</f>
            </strRef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prstDash val="solid"/>
            </a:ln>
          </spPr>
          <cat>
            <numRef>
              <f>'Titles per Decade'!$A$5:$A$20</f>
            </numRef>
          </cat>
          <val>
            <numRef>
              <f>'Titles per Decade'!$B$5:$B$20</f>
            </numRef>
          </val>
        </ser>
        <ser>
          <idx val="1"/>
          <order val="1"/>
          <tx>
            <strRef>
              <f>'Titles per Decade'!D4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'Titles per Decade'!$A$5:$A$20</f>
            </numRef>
          </cat>
          <val>
            <numRef>
              <f>'Titles per Decade'!$D$5:$D$20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Dated titles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Dated titles per five-year bin: 2019 edition and 2026 additions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'Titles per 5yr'!B4</f>
            </strRef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prstDash val="solid"/>
            </a:ln>
          </spPr>
          <cat>
            <numRef>
              <f>'Titles per 5yr'!$A$5:$A$30</f>
            </numRef>
          </cat>
          <val>
            <numRef>
              <f>'Titles per 5yr'!$B$5:$B$30</f>
            </numRef>
          </val>
        </ser>
        <ser>
          <idx val="1"/>
          <order val="1"/>
          <tx>
            <strRef>
              <f>'Titles per 5yr'!D4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'Titles per 5yr'!$A$5:$A$30</f>
            </numRef>
          </cat>
          <val>
            <numRef>
              <f>'Titles per 5yr'!$D$5:$D$30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Dated titles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Shift between consecutive decades (cosine distance x 1000, bars ±2 SE)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'Drift Steps'!B4</f>
            </strRef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'Drift Steps'!$C$5:$C$10</f>
              </numRef>
            </minus>
            <plus>
              <numRef>
                <f>'Drift Steps'!$C$5:$C$10</f>
              </numRef>
            </plus>
          </errBars>
          <cat>
            <numRef>
              <f>'Drift Steps'!$A$5:$A$10</f>
            </numRef>
          </cat>
          <val>
            <numRef>
              <f>'Drift Steps'!$B$5:$B$10</f>
            </numRef>
          </val>
        </ser>
        <ser>
          <idx val="1"/>
          <order val="1"/>
          <tx>
            <strRef>
              <f>'Drift Steps'!G4</f>
            </strRef>
          </tx>
          <spPr>
            <a:solidFill xmlns:a="http://schemas.openxmlformats.org/drawingml/2006/main">
              <a:srgbClr val="2C5D8A"/>
            </a:solidFill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'Drift Steps'!$H$5:$H$10</f>
              </numRef>
            </minus>
            <plus>
              <numRef>
                <f>'Drift Steps'!$H$5:$H$10</f>
              </numRef>
            </plus>
          </errBars>
          <cat>
            <numRef>
              <f>'Drift Steps'!$A$5:$A$10</f>
            </numRef>
          </cat>
          <val>
            <numRef>
              <f>'Drift Steps'!$G$5:$G$10</f>
            </numRef>
          </val>
        </ser>
        <ser>
          <idx val="2"/>
          <order val="2"/>
          <tx>
            <strRef>
              <f>'Drift Steps'!L4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'Drift Steps'!$M$5:$M$10</f>
              </numRef>
            </minus>
            <plus>
              <numRef>
                <f>'Drift Steps'!$M$5:$M$10</f>
              </numRef>
            </plus>
          </errBars>
          <cat>
            <numRef>
              <f>'Drift Steps'!$A$5:$A$10</f>
            </numRef>
          </cat>
          <val>
            <numRef>
              <f>'Drift Steps'!$L$5:$L$10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Shift x1000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Coherence: observed against chance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'Coherence'!B4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'Coherence'!$A$5:$A$7</f>
            </numRef>
          </cat>
          <val>
            <numRef>
              <f>'Coherence'!$B$5:$B$7</f>
            </numRef>
          </val>
        </ser>
        <ser>
          <idx val="1"/>
          <order val="1"/>
          <tx>
            <strRef>
              <f>'Coherence'!C4</f>
            </strRef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prstDash val="solid"/>
            </a:ln>
          </spPr>
          <cat>
            <numRef>
              <f>'Coherence'!$A$5:$A$7</f>
            </numRef>
          </cat>
          <val>
            <numRef>
              <f>'Coherence'!$C$5:$C$7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titles by exploratory topic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'Topic Shares'!C4</f>
            </strRef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prstDash val="solid"/>
            </a:ln>
          </spPr>
          <cat>
            <numRef>
              <f>'Topic Shares'!$A$5:$A$16</f>
            </numRef>
          </cat>
          <val>
            <numRef>
              <f>'Topic Shares'!$C$5:$C$16</f>
            </numRef>
          </val>
        </ser>
        <ser>
          <idx val="1"/>
          <order val="1"/>
          <tx>
            <strRef>
              <f>'Topic Shares'!E4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'Topic Shares'!$A$5:$A$16</f>
            </numRef>
          </cat>
          <val>
            <numRef>
              <f>'Topic Shares'!$E$5:$E$16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12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ACC Bibliography: Aggregate Results, 2019 and 2026 Editions</t>
        </is>
      </c>
    </row>
    <row r="2">
      <c r="A2" s="2" t="inlineStr">
        <is>
          <t>Junyoung Baik, October 2026</t>
        </is>
      </c>
    </row>
    <row r="3">
      <c r="A3" s="2" t="inlineStr"/>
    </row>
    <row r="4">
      <c r="A4" s="3" t="inlineStr">
        <is>
          <t>Source</t>
        </is>
      </c>
    </row>
    <row r="5">
      <c r="A5" s="2" t="inlineStr">
        <is>
          <t>Paul R. Goldin, Ancient Chinese Civilization: Bibliography of Materials in Western Languages, 2019 and 2026 editions. Used with permission; aggregates only.</t>
        </is>
      </c>
    </row>
    <row r="6">
      <c r="A6" s="2" t="inlineStr">
        <is>
          <t>No entry-level data, titles or names are included. Languages with fewer than 5 titles are grouped; topic-share bins with fewer than 20 titles are omitted.</t>
        </is>
      </c>
    </row>
    <row r="7">
      <c r="A7" s="2" t="inlineStr"/>
    </row>
    <row r="8">
      <c r="A8" s="3" t="inlineStr">
        <is>
          <t>What was done</t>
        </is>
      </c>
    </row>
    <row r="9">
      <c r="A9" s="2" t="inlineStr">
        <is>
          <t>1. Each entry was parsed into contributors, title, year, publication type, container and language.</t>
        </is>
      </c>
    </row>
    <row r="10">
      <c r="A10" s="2" t="inlineStr">
        <is>
          <t>2. Every 2019 entry and every new 2026 entry was checked against its parsed fields with AI assistance; every disagreement was resolved by hand. Repeated 2026 entries inherited their 2019 checks (random audit: 0 errors in 80).</t>
        </is>
      </c>
    </row>
    <row r="11">
      <c r="A11" s="2" t="inlineStr">
        <is>
          <t>3. Each title was embedded with a multilingual sentence model (MiniLM, 384 dimensions).</t>
        </is>
      </c>
    </row>
    <row r="12">
      <c r="A12" s="2" t="inlineStr">
        <is>
          <t>4. For each decade, the centroid (average title vector) was computed. Drift = unbiased cosine separation between consecutive centroids, tested by permutation (years shuffled) and jackknife standard error. A step is established when p &lt; 0.05 and z &gt;= 2.</t>
        </is>
      </c>
    </row>
    <row r="13">
      <c r="A13" s="2" t="inlineStr">
        <is>
          <t>5. Coherence = whether consecutive drift steps point the same way, compared with a shuffled null (chance is negative, about -0.46).</t>
        </is>
      </c>
    </row>
    <row r="14">
      <c r="A14" s="2" t="inlineStr">
        <is>
          <t>6. Twelve exploratory topic clusters were fitted on 2019 and the 2026 edition mapped onto them without refitting. Topic names are working labels, not validated.</t>
        </is>
      </c>
    </row>
    <row r="15">
      <c r="A15" s="2" t="inlineStr"/>
    </row>
    <row r="16">
      <c r="A16" s="3" t="inlineStr">
        <is>
          <t>Sheets</t>
        </is>
      </c>
    </row>
    <row r="17">
      <c r="A17" s="2" t="inlineStr">
        <is>
          <t>Editions: counts for both editions.</t>
        </is>
      </c>
    </row>
    <row r="18">
      <c r="A18" s="2" t="inlineStr">
        <is>
          <t>Titles per Decade / Titles per 5yr: dated titles by bin, 2019 and 2026 additions (chart).</t>
        </is>
      </c>
    </row>
    <row r="19">
      <c r="A19" s="2" t="inlineStr">
        <is>
          <t>Languages and Types: composition by edition.</t>
        </is>
      </c>
    </row>
    <row r="20">
      <c r="A20" s="2" t="inlineStr">
        <is>
          <t>Drift Steps: consecutive-decade drift for 2019 (corrected titles), 2019 (romanisation standardised) and 2026 (chart).</t>
        </is>
      </c>
    </row>
    <row r="21">
      <c r="A21" s="2" t="inlineStr">
        <is>
          <t>Coherence: directional coherence against chance.</t>
        </is>
      </c>
    </row>
    <row r="22">
      <c r="A22" s="2" t="inlineStr">
        <is>
          <t>Topic Shares: share of 2026 additions against 2019 by exploratory topic (chart). Topic by Decade: shares per decade, both editions.</t>
        </is>
      </c>
    </row>
    <row r="23">
      <c r="A23" s="2" t="inlineStr">
        <is>
          <t>Parser Accuracy: accuracy of the automatic parser against the full check of the 2019 edition.</t>
        </is>
      </c>
    </row>
    <row r="24">
      <c r="A24" s="2" t="inlineStr"/>
    </row>
    <row r="25">
      <c r="A25" s="3" t="inlineStr">
        <is>
          <t>Limitations</t>
        </is>
      </c>
    </row>
    <row r="26">
      <c r="A26" s="2" t="inlineStr">
        <is>
          <t>Describes a curated bibliography, not the whole field. The 2020s bin is incomplete. Topics are exploratory. Titles are a narrow window on content.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Edition counts</t>
        </is>
      </c>
    </row>
    <row r="3">
      <c r="A3" s="5" t="inlineStr">
        <is>
          <t>Measure</t>
        </is>
      </c>
      <c r="B3" s="5" t="inlineStr">
        <is>
          <t>2019</t>
        </is>
      </c>
      <c r="C3" s="5" t="inlineStr">
        <is>
          <t>2026</t>
        </is>
      </c>
      <c r="D3" s="5" t="inlineStr">
        <is>
          <t>Change</t>
        </is>
      </c>
      <c r="E3" s="5" t="inlineStr">
        <is>
          <t>Change (%)</t>
        </is>
      </c>
    </row>
    <row r="4">
      <c r="A4" t="inlineStr">
        <is>
          <t>Records (all record classes)</t>
        </is>
      </c>
      <c r="B4" t="n">
        <v>12287</v>
      </c>
      <c r="C4" t="n">
        <v>17015</v>
      </c>
      <c r="D4" t="n">
        <v>4728</v>
      </c>
      <c r="E4" t="n">
        <v>38.5</v>
      </c>
    </row>
    <row r="5">
      <c r="A5" t="inlineStr">
        <is>
          <t>Entries</t>
        </is>
      </c>
      <c r="B5" t="n">
        <v>12214</v>
      </c>
      <c r="C5" t="n">
        <v>16928</v>
      </c>
      <c r="D5" t="n">
        <v>4714</v>
      </c>
      <c r="E5" t="n">
        <v>38.6</v>
      </c>
    </row>
    <row r="6">
      <c r="A6" t="inlineStr">
        <is>
          <t>Editorial notes</t>
        </is>
      </c>
      <c r="B6" t="n">
        <v>73</v>
      </c>
      <c r="C6" t="n">
        <v>86</v>
      </c>
      <c r="D6" t="n">
        <v>13</v>
      </c>
      <c r="E6" t="n">
        <v>17.8</v>
      </c>
    </row>
    <row r="7">
      <c r="A7" t="inlineStr">
        <is>
          <t>Dated titles</t>
        </is>
      </c>
      <c r="B7" t="n">
        <v>12207</v>
      </c>
      <c r="C7" t="n">
        <v>16902</v>
      </c>
      <c r="D7" t="n">
        <v>4695</v>
      </c>
      <c r="E7" t="n">
        <v>38.5</v>
      </c>
    </row>
    <row r="8">
      <c r="A8" t="inlineStr">
        <is>
          <t>Contributor mentions</t>
        </is>
      </c>
      <c r="B8" t="n">
        <v>13824</v>
      </c>
      <c r="C8" t="n">
        <v>19276</v>
      </c>
      <c r="D8" t="n">
        <v>5452</v>
      </c>
      <c r="E8" t="n">
        <v>39.4</v>
      </c>
    </row>
    <row r="9">
      <c r="A9" t="inlineStr">
        <is>
          <t>New or reworded dated titles in 2026</t>
        </is>
      </c>
      <c r="B9" t="inlineStr"/>
      <c r="C9" t="n">
        <v>5049</v>
      </c>
      <c r="D9" t="inlineStr"/>
      <c r="E9" t="inlineStr"/>
    </row>
    <row r="10">
      <c r="A10" t="inlineStr">
        <is>
          <t xml:space="preserve">  of which differ from a 2019 title only in case or punctuation</t>
        </is>
      </c>
      <c r="B10" t="inlineStr"/>
      <c r="C10" t="n">
        <v>154</v>
      </c>
      <c r="D10" t="inlineStr"/>
      <c r="E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Dated titles per decade</t>
        </is>
      </c>
    </row>
    <row r="2">
      <c r="A2" s="6" t="inlineStr">
        <is>
          <t>All languages. The 2020s exist only in the 2026 edition and are incomplete.</t>
        </is>
      </c>
    </row>
    <row r="4">
      <c r="A4" s="5" t="inlineStr">
        <is>
          <t>Period</t>
        </is>
      </c>
      <c r="B4" s="5" t="inlineStr">
        <is>
          <t>2019 edition</t>
        </is>
      </c>
      <c r="C4" s="5" t="inlineStr">
        <is>
          <t>2026 edition</t>
        </is>
      </c>
      <c r="D4" s="5" t="inlineStr">
        <is>
          <t>Net addition in 2026</t>
        </is>
      </c>
    </row>
    <row r="5">
      <c r="A5" t="inlineStr">
        <is>
          <t>1870s</t>
        </is>
      </c>
      <c r="B5" t="n">
        <v>0</v>
      </c>
      <c r="C5" t="n">
        <v>21</v>
      </c>
      <c r="D5" t="n">
        <v>21</v>
      </c>
    </row>
    <row r="6">
      <c r="A6" t="inlineStr">
        <is>
          <t>1880s</t>
        </is>
      </c>
      <c r="B6" t="n">
        <v>23</v>
      </c>
      <c r="C6" t="n">
        <v>29</v>
      </c>
      <c r="D6" t="n">
        <v>6</v>
      </c>
    </row>
    <row r="7">
      <c r="A7" t="inlineStr">
        <is>
          <t>1890s</t>
        </is>
      </c>
      <c r="B7" t="n">
        <v>25</v>
      </c>
      <c r="C7" t="n">
        <v>27</v>
      </c>
      <c r="D7" t="n">
        <v>2</v>
      </c>
    </row>
    <row r="8">
      <c r="A8" t="inlineStr">
        <is>
          <t>1900s</t>
        </is>
      </c>
      <c r="B8" t="n">
        <v>38</v>
      </c>
      <c r="C8" t="n">
        <v>39</v>
      </c>
      <c r="D8" t="n">
        <v>1</v>
      </c>
    </row>
    <row r="9">
      <c r="A9" t="inlineStr">
        <is>
          <t>1910s</t>
        </is>
      </c>
      <c r="B9" t="n">
        <v>59</v>
      </c>
      <c r="C9" t="n">
        <v>60</v>
      </c>
      <c r="D9" t="n">
        <v>1</v>
      </c>
    </row>
    <row r="10">
      <c r="A10" t="inlineStr">
        <is>
          <t>1920s</t>
        </is>
      </c>
      <c r="B10" t="n">
        <v>136</v>
      </c>
      <c r="C10" t="n">
        <v>136</v>
      </c>
      <c r="D10" t="n">
        <v>0</v>
      </c>
    </row>
    <row r="11">
      <c r="A11" t="inlineStr">
        <is>
          <t>1930s</t>
        </is>
      </c>
      <c r="B11" t="n">
        <v>169</v>
      </c>
      <c r="C11" t="n">
        <v>169</v>
      </c>
      <c r="D11" t="n">
        <v>0</v>
      </c>
    </row>
    <row r="12">
      <c r="A12" t="inlineStr">
        <is>
          <t>1940s</t>
        </is>
      </c>
      <c r="B12" t="n">
        <v>138</v>
      </c>
      <c r="C12" t="n">
        <v>139</v>
      </c>
      <c r="D12" t="n">
        <v>1</v>
      </c>
    </row>
    <row r="13">
      <c r="A13" t="inlineStr">
        <is>
          <t>1950s</t>
        </is>
      </c>
      <c r="B13" t="n">
        <v>240</v>
      </c>
      <c r="C13" t="n">
        <v>250</v>
      </c>
      <c r="D13" t="n">
        <v>10</v>
      </c>
    </row>
    <row r="14">
      <c r="A14" t="inlineStr">
        <is>
          <t>1960s</t>
        </is>
      </c>
      <c r="B14" t="n">
        <v>361</v>
      </c>
      <c r="C14" t="n">
        <v>370</v>
      </c>
      <c r="D14" t="n">
        <v>9</v>
      </c>
    </row>
    <row r="15">
      <c r="A15" t="inlineStr">
        <is>
          <t>1970s</t>
        </is>
      </c>
      <c r="B15" t="n">
        <v>613</v>
      </c>
      <c r="C15" t="n">
        <v>627</v>
      </c>
      <c r="D15" t="n">
        <v>14</v>
      </c>
    </row>
    <row r="16">
      <c r="A16" t="inlineStr">
        <is>
          <t>1980s</t>
        </is>
      </c>
      <c r="B16" t="n">
        <v>1060</v>
      </c>
      <c r="C16" t="n">
        <v>1072</v>
      </c>
      <c r="D16" t="n">
        <v>12</v>
      </c>
    </row>
    <row r="17">
      <c r="A17" t="inlineStr">
        <is>
          <t>1990s</t>
        </is>
      </c>
      <c r="B17" t="n">
        <v>2130</v>
      </c>
      <c r="C17" t="n">
        <v>2136</v>
      </c>
      <c r="D17" t="n">
        <v>6</v>
      </c>
    </row>
    <row r="18">
      <c r="A18" t="inlineStr">
        <is>
          <t>2000s</t>
        </is>
      </c>
      <c r="B18" t="n">
        <v>3632</v>
      </c>
      <c r="C18" t="n">
        <v>3716</v>
      </c>
      <c r="D18" t="n">
        <v>84</v>
      </c>
    </row>
    <row r="19">
      <c r="A19" t="inlineStr">
        <is>
          <t>2010s</t>
        </is>
      </c>
      <c r="B19" t="n">
        <v>3544</v>
      </c>
      <c r="C19" t="n">
        <v>4672</v>
      </c>
      <c r="D19" t="n">
        <v>1128</v>
      </c>
    </row>
    <row r="20">
      <c r="A20" t="inlineStr">
        <is>
          <t>2020s</t>
        </is>
      </c>
      <c r="B20" t="n">
        <v>0</v>
      </c>
      <c r="C20" t="n">
        <v>3414</v>
      </c>
      <c r="D20" t="n">
        <v>3414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Dated titles per five-year bin (bins under 20 titles omitted in source)</t>
        </is>
      </c>
    </row>
    <row r="2">
      <c r="A2" s="6" t="inlineStr">
        <is>
          <t>All languages. The 2020s exist only in the 2026 edition and are incomplete.</t>
        </is>
      </c>
    </row>
    <row r="4">
      <c r="A4" s="5" t="inlineStr">
        <is>
          <t>Period</t>
        </is>
      </c>
      <c r="B4" s="5" t="inlineStr">
        <is>
          <t>2019 edition</t>
        </is>
      </c>
      <c r="C4" s="5" t="inlineStr">
        <is>
          <t>2026 edition</t>
        </is>
      </c>
      <c r="D4" s="5" t="inlineStr">
        <is>
          <t>Net addition in 2026</t>
        </is>
      </c>
    </row>
    <row r="5">
      <c r="A5" t="inlineStr">
        <is>
          <t>1885-1889</t>
        </is>
      </c>
      <c r="B5" t="n">
        <v>0</v>
      </c>
      <c r="C5" t="n">
        <v>20</v>
      </c>
      <c r="D5" t="n">
        <v>20</v>
      </c>
    </row>
    <row r="6">
      <c r="A6" t="inlineStr">
        <is>
          <t>1905-1909</t>
        </is>
      </c>
      <c r="B6" t="n">
        <v>22</v>
      </c>
      <c r="C6" t="n">
        <v>23</v>
      </c>
      <c r="D6" t="n">
        <v>1</v>
      </c>
    </row>
    <row r="7">
      <c r="A7" t="inlineStr">
        <is>
          <t>1910-1914</t>
        </is>
      </c>
      <c r="B7" t="n">
        <v>37</v>
      </c>
      <c r="C7" t="n">
        <v>38</v>
      </c>
      <c r="D7" t="n">
        <v>1</v>
      </c>
    </row>
    <row r="8">
      <c r="A8" t="inlineStr">
        <is>
          <t>1915-1919</t>
        </is>
      </c>
      <c r="B8" t="n">
        <v>22</v>
      </c>
      <c r="C8" t="n">
        <v>22</v>
      </c>
      <c r="D8" t="n">
        <v>0</v>
      </c>
    </row>
    <row r="9">
      <c r="A9" t="inlineStr">
        <is>
          <t>1920-1924</t>
        </is>
      </c>
      <c r="B9" t="n">
        <v>48</v>
      </c>
      <c r="C9" t="n">
        <v>48</v>
      </c>
      <c r="D9" t="n">
        <v>0</v>
      </c>
    </row>
    <row r="10">
      <c r="A10" t="inlineStr">
        <is>
          <t>1925-1929</t>
        </is>
      </c>
      <c r="B10" t="n">
        <v>88</v>
      </c>
      <c r="C10" t="n">
        <v>88</v>
      </c>
      <c r="D10" t="n">
        <v>0</v>
      </c>
    </row>
    <row r="11">
      <c r="A11" t="inlineStr">
        <is>
          <t>1930-1934</t>
        </is>
      </c>
      <c r="B11" t="n">
        <v>88</v>
      </c>
      <c r="C11" t="n">
        <v>87</v>
      </c>
      <c r="D11" t="n">
        <v>-1</v>
      </c>
    </row>
    <row r="12">
      <c r="A12" t="inlineStr">
        <is>
          <t>1935-1939</t>
        </is>
      </c>
      <c r="B12" t="n">
        <v>81</v>
      </c>
      <c r="C12" t="n">
        <v>82</v>
      </c>
      <c r="D12" t="n">
        <v>1</v>
      </c>
    </row>
    <row r="13">
      <c r="A13" t="inlineStr">
        <is>
          <t>1940-1944</t>
        </is>
      </c>
      <c r="B13" t="n">
        <v>58</v>
      </c>
      <c r="C13" t="n">
        <v>59</v>
      </c>
      <c r="D13" t="n">
        <v>1</v>
      </c>
    </row>
    <row r="14">
      <c r="A14" t="inlineStr">
        <is>
          <t>1945-1949</t>
        </is>
      </c>
      <c r="B14" t="n">
        <v>80</v>
      </c>
      <c r="C14" t="n">
        <v>80</v>
      </c>
      <c r="D14" t="n">
        <v>0</v>
      </c>
    </row>
    <row r="15">
      <c r="A15" t="inlineStr">
        <is>
          <t>1950-1954</t>
        </is>
      </c>
      <c r="B15" t="n">
        <v>112</v>
      </c>
      <c r="C15" t="n">
        <v>118</v>
      </c>
      <c r="D15" t="n">
        <v>6</v>
      </c>
    </row>
    <row r="16">
      <c r="A16" t="inlineStr">
        <is>
          <t>1955-1959</t>
        </is>
      </c>
      <c r="B16" t="n">
        <v>128</v>
      </c>
      <c r="C16" t="n">
        <v>132</v>
      </c>
      <c r="D16" t="n">
        <v>4</v>
      </c>
    </row>
    <row r="17">
      <c r="A17" t="inlineStr">
        <is>
          <t>1960-1964</t>
        </is>
      </c>
      <c r="B17" t="n">
        <v>156</v>
      </c>
      <c r="C17" t="n">
        <v>164</v>
      </c>
      <c r="D17" t="n">
        <v>8</v>
      </c>
    </row>
    <row r="18">
      <c r="A18" t="inlineStr">
        <is>
          <t>1965-1969</t>
        </is>
      </c>
      <c r="B18" t="n">
        <v>205</v>
      </c>
      <c r="C18" t="n">
        <v>206</v>
      </c>
      <c r="D18" t="n">
        <v>1</v>
      </c>
    </row>
    <row r="19">
      <c r="A19" t="inlineStr">
        <is>
          <t>1970-1974</t>
        </is>
      </c>
      <c r="B19" t="n">
        <v>235</v>
      </c>
      <c r="C19" t="n">
        <v>240</v>
      </c>
      <c r="D19" t="n">
        <v>5</v>
      </c>
    </row>
    <row r="20">
      <c r="A20" t="inlineStr">
        <is>
          <t>1975-1979</t>
        </is>
      </c>
      <c r="B20" t="n">
        <v>378</v>
      </c>
      <c r="C20" t="n">
        <v>387</v>
      </c>
      <c r="D20" t="n">
        <v>9</v>
      </c>
    </row>
    <row r="21">
      <c r="A21" t="inlineStr">
        <is>
          <t>1980-1984</t>
        </is>
      </c>
      <c r="B21" t="n">
        <v>447</v>
      </c>
      <c r="C21" t="n">
        <v>446</v>
      </c>
      <c r="D21" t="n">
        <v>-1</v>
      </c>
    </row>
    <row r="22">
      <c r="A22" t="inlineStr">
        <is>
          <t>1985-1989</t>
        </is>
      </c>
      <c r="B22" t="n">
        <v>613</v>
      </c>
      <c r="C22" t="n">
        <v>626</v>
      </c>
      <c r="D22" t="n">
        <v>13</v>
      </c>
    </row>
    <row r="23">
      <c r="A23" t="inlineStr">
        <is>
          <t>1990-1994</t>
        </is>
      </c>
      <c r="B23" t="n">
        <v>901</v>
      </c>
      <c r="C23" t="n">
        <v>908</v>
      </c>
      <c r="D23" t="n">
        <v>7</v>
      </c>
    </row>
    <row r="24">
      <c r="A24" t="inlineStr">
        <is>
          <t>1995-1999</t>
        </is>
      </c>
      <c r="B24" t="n">
        <v>1229</v>
      </c>
      <c r="C24" t="n">
        <v>1228</v>
      </c>
      <c r="D24" t="n">
        <v>-1</v>
      </c>
    </row>
    <row r="25">
      <c r="A25" t="inlineStr">
        <is>
          <t>2000-2004</t>
        </is>
      </c>
      <c r="B25" t="n">
        <v>1799</v>
      </c>
      <c r="C25" t="n">
        <v>1796</v>
      </c>
      <c r="D25" t="n">
        <v>-3</v>
      </c>
    </row>
    <row r="26">
      <c r="A26" t="inlineStr">
        <is>
          <t>2005-2009</t>
        </is>
      </c>
      <c r="B26" t="n">
        <v>1833</v>
      </c>
      <c r="C26" t="n">
        <v>1920</v>
      </c>
      <c r="D26" t="n">
        <v>87</v>
      </c>
    </row>
    <row r="27">
      <c r="A27" t="inlineStr">
        <is>
          <t>2010-2014</t>
        </is>
      </c>
      <c r="B27" t="n">
        <v>1874</v>
      </c>
      <c r="C27" t="n">
        <v>2120</v>
      </c>
      <c r="D27" t="n">
        <v>246</v>
      </c>
    </row>
    <row r="28">
      <c r="A28" t="inlineStr">
        <is>
          <t>2015-2019</t>
        </is>
      </c>
      <c r="B28" t="n">
        <v>1670</v>
      </c>
      <c r="C28" t="n">
        <v>2552</v>
      </c>
      <c r="D28" t="n">
        <v>882</v>
      </c>
    </row>
    <row r="29">
      <c r="A29" t="inlineStr">
        <is>
          <t>2020-2024</t>
        </is>
      </c>
      <c r="B29" t="n">
        <v>0</v>
      </c>
      <c r="C29" t="n">
        <v>2702</v>
      </c>
      <c r="D29" t="n">
        <v>2702</v>
      </c>
    </row>
    <row r="30">
      <c r="A30" t="inlineStr">
        <is>
          <t>2025-2029</t>
        </is>
      </c>
      <c r="B30" t="n">
        <v>0</v>
      </c>
      <c r="C30" t="n">
        <v>712</v>
      </c>
      <c r="D30" t="n">
        <v>712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4" t="inlineStr">
        <is>
          <t>Title language by edition</t>
        </is>
      </c>
    </row>
    <row r="3">
      <c r="A3" s="5" t="inlineStr">
        <is>
          <t>Language</t>
        </is>
      </c>
      <c r="B3" s="5" t="inlineStr">
        <is>
          <t>2019</t>
        </is>
      </c>
      <c r="C3" s="5" t="inlineStr">
        <is>
          <t>2026</t>
        </is>
      </c>
    </row>
    <row r="4">
      <c r="A4" t="inlineStr">
        <is>
          <t>English</t>
        </is>
      </c>
      <c r="B4" t="n">
        <v>10191</v>
      </c>
      <c r="C4" t="n">
        <v>14577</v>
      </c>
    </row>
    <row r="5">
      <c r="A5" t="inlineStr">
        <is>
          <t>German</t>
        </is>
      </c>
      <c r="B5" t="n">
        <v>1075</v>
      </c>
      <c r="C5" t="n">
        <v>1178</v>
      </c>
    </row>
    <row r="6">
      <c r="A6" t="inlineStr">
        <is>
          <t>French</t>
        </is>
      </c>
      <c r="B6" t="n">
        <v>699</v>
      </c>
      <c r="C6" t="n">
        <v>775</v>
      </c>
    </row>
    <row r="7">
      <c r="A7" t="inlineStr">
        <is>
          <t>Italian</t>
        </is>
      </c>
      <c r="B7" t="n">
        <v>144</v>
      </c>
      <c r="C7" t="n">
        <v>163</v>
      </c>
    </row>
    <row r="8">
      <c r="A8" t="inlineStr">
        <is>
          <t>Dutch</t>
        </is>
      </c>
      <c r="B8" t="n">
        <v>35</v>
      </c>
      <c r="C8" t="n">
        <v>36</v>
      </c>
    </row>
    <row r="9">
      <c r="A9" t="inlineStr">
        <is>
          <t>Undetermined</t>
        </is>
      </c>
      <c r="B9" t="n">
        <v>27</v>
      </c>
      <c r="C9" t="n">
        <v>48</v>
      </c>
    </row>
    <row r="10">
      <c r="A10" t="inlineStr">
        <is>
          <t>Spanish</t>
        </is>
      </c>
      <c r="B10" t="n">
        <v>24</v>
      </c>
      <c r="C10" t="n">
        <v>50</v>
      </c>
    </row>
    <row r="11">
      <c r="A11" t="inlineStr">
        <is>
          <t>Russian</t>
        </is>
      </c>
      <c r="B11" t="n">
        <v>7</v>
      </c>
      <c r="C11" t="n">
        <v>33</v>
      </c>
    </row>
    <row r="12">
      <c r="A12" t="inlineStr">
        <is>
          <t>Chinese</t>
        </is>
      </c>
      <c r="B12" t="n">
        <v>5</v>
      </c>
      <c r="C12" t="n">
        <v>4</v>
      </c>
    </row>
    <row r="13">
      <c r="A13" t="inlineStr">
        <is>
          <t>Croatian</t>
        </is>
      </c>
      <c r="B13" t="n">
        <v>1</v>
      </c>
      <c r="C13" t="n">
        <v>7</v>
      </c>
    </row>
    <row r="14">
      <c r="A14" t="inlineStr">
        <is>
          <t>Polish</t>
        </is>
      </c>
      <c r="B14" t="n">
        <v>1</v>
      </c>
      <c r="C14" t="n">
        <v>10</v>
      </c>
    </row>
    <row r="15">
      <c r="A15" t="inlineStr">
        <is>
          <t>Hungarian</t>
        </is>
      </c>
      <c r="B15" t="n">
        <v>1</v>
      </c>
      <c r="C15" t="n">
        <v>13</v>
      </c>
    </row>
    <row r="16">
      <c r="A16" t="inlineStr">
        <is>
          <t>Portuguese</t>
        </is>
      </c>
      <c r="B16" t="n">
        <v>1</v>
      </c>
      <c r="C16" t="n">
        <v>25</v>
      </c>
    </row>
    <row r="17">
      <c r="A17" t="inlineStr">
        <is>
          <t>Other (5 languages, under 5 titles each)</t>
        </is>
      </c>
      <c r="B17" t="n">
        <v>3</v>
      </c>
      <c r="C17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4" t="inlineStr">
        <is>
          <t>Publication type by edition</t>
        </is>
      </c>
    </row>
    <row r="3">
      <c r="A3" s="5" t="inlineStr">
        <is>
          <t>Type</t>
        </is>
      </c>
      <c r="B3" s="5" t="inlineStr">
        <is>
          <t>2019</t>
        </is>
      </c>
      <c r="C3" s="5" t="inlineStr">
        <is>
          <t>2026</t>
        </is>
      </c>
    </row>
    <row r="4">
      <c r="A4" t="inlineStr">
        <is>
          <t>journal article</t>
        </is>
      </c>
      <c r="B4" t="n">
        <v>5747</v>
      </c>
      <c r="C4" t="n">
        <v>8149</v>
      </c>
    </row>
    <row r="5">
      <c r="A5" t="inlineStr">
        <is>
          <t>book chapter</t>
        </is>
      </c>
      <c r="B5" t="n">
        <v>3606</v>
      </c>
      <c r="C5" t="n">
        <v>5197</v>
      </c>
    </row>
    <row r="6">
      <c r="A6" t="inlineStr">
        <is>
          <t>book</t>
        </is>
      </c>
      <c r="B6" t="n">
        <v>2844</v>
      </c>
      <c r="C6" t="n">
        <v>3542</v>
      </c>
    </row>
    <row r="7">
      <c r="A7" t="inlineStr">
        <is>
          <t>misc</t>
        </is>
      </c>
      <c r="B7" t="n">
        <v>17</v>
      </c>
      <c r="C7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4" t="inlineStr">
        <is>
          <t>Shift between consecutive decade centroids, all languages</t>
        </is>
      </c>
    </row>
    <row r="2">
      <c r="A2" s="6" t="inlineStr">
        <is>
          <t>Shift = unbiased cosine separation of consecutive decade centroids (x1000). Established = permutation p &lt; 0.05 and z &gt;= 2. Earlier decades in source files; too few titles to measure reliably.</t>
        </is>
      </c>
    </row>
    <row r="4">
      <c r="A4" s="5" t="inlineStr">
        <is>
          <t>Step</t>
        </is>
      </c>
      <c r="B4" s="5" t="inlineStr">
        <is>
          <t>2019 corrected: shift x1000</t>
        </is>
      </c>
      <c r="C4" s="5" t="inlineStr">
        <is>
          <t>2019 corrected: 2 SE x1000</t>
        </is>
      </c>
      <c r="D4" s="5" t="inlineStr">
        <is>
          <t>2019 corrected: z</t>
        </is>
      </c>
      <c r="E4" s="5" t="inlineStr">
        <is>
          <t>2019 corrected: p</t>
        </is>
      </c>
      <c r="F4" s="5" t="inlineStr">
        <is>
          <t>2019 corrected: established</t>
        </is>
      </c>
      <c r="G4" s="5" t="inlineStr">
        <is>
          <t>2019 romanisation std.: shift x1000</t>
        </is>
      </c>
      <c r="H4" s="5" t="inlineStr">
        <is>
          <t>2019 romanisation std.: 2 SE x1000</t>
        </is>
      </c>
      <c r="I4" s="5" t="inlineStr">
        <is>
          <t>2019 romanisation std.: z</t>
        </is>
      </c>
      <c r="J4" s="5" t="inlineStr">
        <is>
          <t>2019 romanisation std.: p</t>
        </is>
      </c>
      <c r="K4" s="5" t="inlineStr">
        <is>
          <t>2019 romanisation std.: established</t>
        </is>
      </c>
      <c r="L4" s="5" t="inlineStr">
        <is>
          <t>2026: shift x1000</t>
        </is>
      </c>
      <c r="M4" s="5" t="inlineStr">
        <is>
          <t>2026: 2 SE x1000</t>
        </is>
      </c>
      <c r="N4" s="5" t="inlineStr">
        <is>
          <t>2026: z</t>
        </is>
      </c>
      <c r="O4" s="5" t="inlineStr">
        <is>
          <t>2026: p</t>
        </is>
      </c>
      <c r="P4" s="5" t="inlineStr">
        <is>
          <t>2026: established</t>
        </is>
      </c>
    </row>
    <row r="5">
      <c r="A5" t="inlineStr">
        <is>
          <t>1960s to 1970s</t>
        </is>
      </c>
      <c r="B5" t="n">
        <v>1.516</v>
      </c>
      <c r="C5" t="n">
        <v>1.638</v>
      </c>
      <c r="D5" t="n">
        <v>1.85</v>
      </c>
      <c r="E5" t="n">
        <v>0.001</v>
      </c>
      <c r="F5" t="inlineStr">
        <is>
          <t>No</t>
        </is>
      </c>
      <c r="G5" t="n">
        <v>1.074</v>
      </c>
      <c r="H5" t="n">
        <v>1.326</v>
      </c>
      <c r="I5" t="n">
        <v>1.62</v>
      </c>
      <c r="J5" t="n">
        <v>0.004</v>
      </c>
      <c r="K5" t="inlineStr">
        <is>
          <t>No</t>
        </is>
      </c>
      <c r="L5" t="n">
        <v>1.511</v>
      </c>
      <c r="M5" t="n">
        <v>1.549</v>
      </c>
      <c r="N5" t="n">
        <v>1.95</v>
      </c>
      <c r="O5" t="n">
        <v>0.002</v>
      </c>
      <c r="P5" t="inlineStr">
        <is>
          <t>No</t>
        </is>
      </c>
    </row>
    <row r="6">
      <c r="A6" t="inlineStr">
        <is>
          <t>1970s to 1980s</t>
        </is>
      </c>
      <c r="B6" t="n">
        <v>1.099</v>
      </c>
      <c r="C6" t="n">
        <v>0.903</v>
      </c>
      <c r="D6" t="n">
        <v>2.43</v>
      </c>
      <c r="E6" t="n">
        <v>0.0005</v>
      </c>
      <c r="F6" t="inlineStr">
        <is>
          <t>Yes</t>
        </is>
      </c>
      <c r="G6" t="n">
        <v>0.556</v>
      </c>
      <c r="H6" t="n">
        <v>0.665</v>
      </c>
      <c r="I6" t="n">
        <v>1.67</v>
      </c>
      <c r="J6" t="n">
        <v>0.0115</v>
      </c>
      <c r="K6" t="inlineStr">
        <is>
          <t>No</t>
        </is>
      </c>
      <c r="L6" t="n">
        <v>1.067</v>
      </c>
      <c r="M6" t="n">
        <v>0.881</v>
      </c>
      <c r="N6" t="n">
        <v>2.42</v>
      </c>
      <c r="O6" t="n">
        <v>0.002</v>
      </c>
      <c r="P6" t="inlineStr">
        <is>
          <t>Yes</t>
        </is>
      </c>
    </row>
    <row r="7">
      <c r="A7" t="inlineStr">
        <is>
          <t>1980s to 1990s</t>
        </is>
      </c>
      <c r="B7" t="n">
        <v>0.849</v>
      </c>
      <c r="C7" t="n">
        <v>0.55</v>
      </c>
      <c r="D7" t="n">
        <v>3.09</v>
      </c>
      <c r="E7" t="n">
        <v>0.0005</v>
      </c>
      <c r="F7" t="inlineStr">
        <is>
          <t>Yes</t>
        </is>
      </c>
      <c r="G7" t="n">
        <v>0.713</v>
      </c>
      <c r="H7" t="n">
        <v>0.652</v>
      </c>
      <c r="I7" t="n">
        <v>2.19</v>
      </c>
      <c r="J7" t="n">
        <v>0.0005</v>
      </c>
      <c r="K7" t="inlineStr">
        <is>
          <t>Yes</t>
        </is>
      </c>
      <c r="L7" t="n">
        <v>0.845</v>
      </c>
      <c r="M7" t="n">
        <v>0.542</v>
      </c>
      <c r="N7" t="n">
        <v>3.12</v>
      </c>
      <c r="O7" t="n">
        <v>0.0005</v>
      </c>
      <c r="P7" t="inlineStr">
        <is>
          <t>Yes</t>
        </is>
      </c>
    </row>
    <row r="8">
      <c r="A8" t="inlineStr">
        <is>
          <t>1990s to 2000s</t>
        </is>
      </c>
      <c r="B8" t="n">
        <v>0.976</v>
      </c>
      <c r="C8" t="n">
        <v>0.395</v>
      </c>
      <c r="D8" t="n">
        <v>4.94</v>
      </c>
      <c r="E8" t="n">
        <v>0.0005</v>
      </c>
      <c r="F8" t="inlineStr">
        <is>
          <t>Yes</t>
        </is>
      </c>
      <c r="G8" t="n">
        <v>0.84</v>
      </c>
      <c r="H8" t="n">
        <v>0.419</v>
      </c>
      <c r="I8" t="n">
        <v>4.01</v>
      </c>
      <c r="J8" t="n">
        <v>0.0005</v>
      </c>
      <c r="K8" t="inlineStr">
        <is>
          <t>Yes</t>
        </is>
      </c>
      <c r="L8" t="n">
        <v>0.944</v>
      </c>
      <c r="M8" t="n">
        <v>0.376</v>
      </c>
      <c r="N8" t="n">
        <v>5.02</v>
      </c>
      <c r="O8" t="n">
        <v>0.0005</v>
      </c>
      <c r="P8" t="inlineStr">
        <is>
          <t>Yes</t>
        </is>
      </c>
    </row>
    <row r="9">
      <c r="A9" t="inlineStr">
        <is>
          <t>2000s to 2010s</t>
        </is>
      </c>
      <c r="B9" t="n">
        <v>0.5570000000000001</v>
      </c>
      <c r="C9" t="n">
        <v>0.287</v>
      </c>
      <c r="D9" t="n">
        <v>3.88</v>
      </c>
      <c r="E9" t="n">
        <v>0.0005</v>
      </c>
      <c r="F9" t="inlineStr">
        <is>
          <t>Yes</t>
        </is>
      </c>
      <c r="G9" t="n">
        <v>0.53</v>
      </c>
      <c r="H9" t="n">
        <v>0.282</v>
      </c>
      <c r="I9" t="n">
        <v>3.76</v>
      </c>
      <c r="J9" t="n">
        <v>0.0005</v>
      </c>
      <c r="K9" t="inlineStr">
        <is>
          <t>Yes</t>
        </is>
      </c>
      <c r="L9" t="n">
        <v>0.405</v>
      </c>
      <c r="M9" t="n">
        <v>0.199</v>
      </c>
      <c r="N9" t="n">
        <v>4.07</v>
      </c>
      <c r="O9" t="n">
        <v>0.0005</v>
      </c>
      <c r="P9" t="inlineStr">
        <is>
          <t>Yes</t>
        </is>
      </c>
    </row>
    <row r="10">
      <c r="A10" t="inlineStr">
        <is>
          <t>2010s to 2020s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0.588</v>
      </c>
      <c r="M10" t="n">
        <v>0.286</v>
      </c>
      <c r="N10" t="n">
        <v>4.11</v>
      </c>
      <c r="O10" t="n">
        <v>0.0005</v>
      </c>
      <c r="P10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0" customWidth="1" min="4" max="4"/>
  </cols>
  <sheetData>
    <row r="1">
      <c r="A1" s="4" t="inlineStr">
        <is>
          <t>Directional coherence of decade steps (triples centred 1980, 1990, 2000)</t>
        </is>
      </c>
    </row>
    <row r="2">
      <c r="A2" s="6" t="inlineStr">
        <is>
          <t>1 = consecutive steps point the same way; chance is negative because consecutive steps share a centroid.</t>
        </is>
      </c>
    </row>
    <row r="4">
      <c r="A4" s="5" t="inlineStr">
        <is>
          <t>Series</t>
        </is>
      </c>
      <c r="B4" s="5" t="inlineStr">
        <is>
          <t>Observed</t>
        </is>
      </c>
      <c r="C4" s="5" t="inlineStr">
        <is>
          <t>Chance (null mean)</t>
        </is>
      </c>
      <c r="D4" s="5" t="inlineStr">
        <is>
          <t>p (400 shuffles; floor 0.0025)</t>
        </is>
      </c>
    </row>
    <row r="5">
      <c r="A5" t="inlineStr">
        <is>
          <t>2019, corrected titles</t>
        </is>
      </c>
      <c r="B5" t="n">
        <v>0.481</v>
      </c>
      <c r="C5" t="n">
        <v>-0.459</v>
      </c>
      <c r="D5" t="n">
        <v>0.0025</v>
      </c>
    </row>
    <row r="6">
      <c r="A6" t="inlineStr">
        <is>
          <t>2019, romanisation standardised</t>
        </is>
      </c>
      <c r="B6" t="n">
        <v>0.396</v>
      </c>
      <c r="C6" t="n">
        <v>-0.458</v>
      </c>
      <c r="D6" t="n">
        <v>0.0025</v>
      </c>
    </row>
    <row r="7">
      <c r="A7" t="inlineStr">
        <is>
          <t>2026 edition</t>
        </is>
      </c>
      <c r="B7" t="n">
        <v>0.453</v>
      </c>
      <c r="C7" t="n">
        <v>-0.465</v>
      </c>
      <c r="D7" t="n">
        <v>0.0025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Exploratory topics: 2026 additions against the 2019 edition</t>
        </is>
      </c>
    </row>
    <row r="2">
      <c r="A2" s="6" t="inlineStr">
        <is>
          <t>2026 titles assigned to the nearest 2019 topic, nothing refitted. Names are working labels, not validated.</t>
        </is>
      </c>
    </row>
    <row r="4">
      <c r="A4" s="5" t="inlineStr">
        <is>
          <t>Topic (working name)</t>
        </is>
      </c>
      <c r="B4" s="5" t="inlineStr">
        <is>
          <t>2019 titles</t>
        </is>
      </c>
      <c r="C4" s="5" t="inlineStr">
        <is>
          <t>2019 share (%)</t>
        </is>
      </c>
      <c r="D4" s="5" t="inlineStr">
        <is>
          <t>2026 additions</t>
        </is>
      </c>
      <c r="E4" s="5" t="inlineStr">
        <is>
          <t>Additions share (%)</t>
        </is>
      </c>
      <c r="F4" s="5" t="inlineStr">
        <is>
          <t>Difference (points)</t>
        </is>
      </c>
    </row>
    <row r="5">
      <c r="A5" t="inlineStr">
        <is>
          <t>Translations and classics</t>
        </is>
      </c>
      <c r="B5" t="n">
        <v>1151</v>
      </c>
      <c r="C5" t="n">
        <v>9.4</v>
      </c>
      <c r="D5" t="n">
        <v>348</v>
      </c>
      <c r="E5" t="n">
        <v>6.9</v>
      </c>
      <c r="F5" t="n">
        <v>-2.5</v>
      </c>
    </row>
    <row r="6">
      <c r="A6" t="inlineStr">
        <is>
          <t>Religion, ritual and Daoism</t>
        </is>
      </c>
      <c r="B6" t="n">
        <v>862</v>
      </c>
      <c r="C6" t="n">
        <v>7.1</v>
      </c>
      <c r="D6" t="n">
        <v>229</v>
      </c>
      <c r="E6" t="n">
        <v>4.5</v>
      </c>
      <c r="F6" t="n">
        <v>-2.5</v>
      </c>
    </row>
    <row r="7">
      <c r="A7" t="inlineStr">
        <is>
          <t>Han dynasty history</t>
        </is>
      </c>
      <c r="B7" t="n">
        <v>834</v>
      </c>
      <c r="C7" t="n">
        <v>6.8</v>
      </c>
      <c r="D7" t="n">
        <v>274</v>
      </c>
      <c r="E7" t="n">
        <v>5.4</v>
      </c>
      <c r="F7" t="n">
        <v>-1.4</v>
      </c>
    </row>
    <row r="8">
      <c r="A8" t="inlineStr">
        <is>
          <t>Archaeology: sites, tombs, cities</t>
        </is>
      </c>
      <c r="B8" t="n">
        <v>920</v>
      </c>
      <c r="C8" t="n">
        <v>7.5</v>
      </c>
      <c r="D8" t="n">
        <v>327</v>
      </c>
      <c r="E8" t="n">
        <v>6.5</v>
      </c>
      <c r="F8" t="n">
        <v>-1.1</v>
      </c>
    </row>
    <row r="9">
      <c r="A9" t="inlineStr">
        <is>
          <t>Chinese philosophy and thought</t>
        </is>
      </c>
      <c r="B9" t="n">
        <v>997</v>
      </c>
      <c r="C9" t="n">
        <v>8.199999999999999</v>
      </c>
      <c r="D9" t="n">
        <v>387</v>
      </c>
      <c r="E9" t="n">
        <v>7.7</v>
      </c>
      <c r="F9" t="n">
        <v>-0.5</v>
      </c>
    </row>
    <row r="10">
      <c r="A10" t="inlineStr">
        <is>
          <t>Confucius and Confucianism</t>
        </is>
      </c>
      <c r="B10" t="n">
        <v>965</v>
      </c>
      <c r="C10" t="n">
        <v>7.9</v>
      </c>
      <c r="D10" t="n">
        <v>389</v>
      </c>
      <c r="E10" t="n">
        <v>7.7</v>
      </c>
      <c r="F10" t="n">
        <v>-0.2</v>
      </c>
    </row>
    <row r="11">
      <c r="A11" t="inlineStr">
        <is>
          <t>Bronzes, jade and art</t>
        </is>
      </c>
      <c r="B11" t="n">
        <v>993</v>
      </c>
      <c r="C11" t="n">
        <v>8.1</v>
      </c>
      <c r="D11" t="n">
        <v>426</v>
      </c>
      <c r="E11" t="n">
        <v>8.4</v>
      </c>
      <c r="F11" t="n">
        <v>0.3</v>
      </c>
    </row>
    <row r="12">
      <c r="A12" t="inlineStr">
        <is>
          <t>Ethics and virtue</t>
        </is>
      </c>
      <c r="B12" t="n">
        <v>1046</v>
      </c>
      <c r="C12" t="n">
        <v>8.6</v>
      </c>
      <c r="D12" t="n">
        <v>464</v>
      </c>
      <c r="E12" t="n">
        <v>9.199999999999999</v>
      </c>
      <c r="F12" t="n">
        <v>0.6</v>
      </c>
    </row>
    <row r="13">
      <c r="A13" t="inlineStr">
        <is>
          <t>Ancient civilization and cosmology</t>
        </is>
      </c>
      <c r="B13" t="n">
        <v>982</v>
      </c>
      <c r="C13" t="n">
        <v>8</v>
      </c>
      <c r="D13" t="n">
        <v>443</v>
      </c>
      <c r="E13" t="n">
        <v>8.800000000000001</v>
      </c>
      <c r="F13" t="n">
        <v>0.7</v>
      </c>
    </row>
    <row r="14">
      <c r="A14" t="inlineStr">
        <is>
          <t>Politics, state and law</t>
        </is>
      </c>
      <c r="B14" t="n">
        <v>1101</v>
      </c>
      <c r="C14" t="n">
        <v>9</v>
      </c>
      <c r="D14" t="n">
        <v>516</v>
      </c>
      <c r="E14" t="n">
        <v>10.2</v>
      </c>
      <c r="F14" t="n">
        <v>1.2</v>
      </c>
    </row>
    <row r="15">
      <c r="A15" t="inlineStr">
        <is>
          <t>Texts, language and literature</t>
        </is>
      </c>
      <c r="B15" t="n">
        <v>1166</v>
      </c>
      <c r="C15" t="n">
        <v>9.6</v>
      </c>
      <c r="D15" t="n">
        <v>545</v>
      </c>
      <c r="E15" t="n">
        <v>10.8</v>
      </c>
      <c r="F15" t="n">
        <v>1.2</v>
      </c>
    </row>
    <row r="16">
      <c r="A16" t="inlineStr">
        <is>
          <t>Masters: Zhuangzi, Laozi, Xunzi</t>
        </is>
      </c>
      <c r="B16" t="n">
        <v>1190</v>
      </c>
      <c r="C16" t="n">
        <v>9.699999999999999</v>
      </c>
      <c r="D16" t="n">
        <v>701</v>
      </c>
      <c r="E16" t="n">
        <v>13.9</v>
      </c>
      <c r="F16" t="n">
        <v>4.1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4" t="inlineStr">
        <is>
          <t>Share of each decade's titles by exploratory topic (%)</t>
        </is>
      </c>
    </row>
    <row r="2">
      <c r="A2" s="6" t="inlineStr">
        <is>
          <t>Decades under 20 titles omitted. Shares are of this bibliography, not the field.</t>
        </is>
      </c>
    </row>
    <row r="4">
      <c r="A4" s="5" t="inlineStr">
        <is>
          <t>Edition</t>
        </is>
      </c>
      <c r="B4" s="5" t="inlineStr">
        <is>
          <t>Decade</t>
        </is>
      </c>
      <c r="C4" s="5" t="inlineStr">
        <is>
          <t>Titles</t>
        </is>
      </c>
      <c r="D4" s="5" t="inlineStr">
        <is>
          <t>Archaeology: sites, tombs, cities</t>
        </is>
      </c>
      <c r="E4" s="5" t="inlineStr">
        <is>
          <t>Chinese philosophy and thought</t>
        </is>
      </c>
      <c r="F4" s="5" t="inlineStr">
        <is>
          <t>Han dynasty history</t>
        </is>
      </c>
      <c r="G4" s="5" t="inlineStr">
        <is>
          <t>Masters: Zhuangzi, Laozi, Xunzi</t>
        </is>
      </c>
      <c r="H4" s="5" t="inlineStr">
        <is>
          <t>Ancient civilization and cosmology</t>
        </is>
      </c>
      <c r="I4" s="5" t="inlineStr">
        <is>
          <t>Bronzes, jade and art</t>
        </is>
      </c>
      <c r="J4" s="5" t="inlineStr">
        <is>
          <t>Confucius and Confucianism</t>
        </is>
      </c>
      <c r="K4" s="5" t="inlineStr">
        <is>
          <t>Ethics and virtue</t>
        </is>
      </c>
      <c r="L4" s="5" t="inlineStr">
        <is>
          <t>Texts, language and literature</t>
        </is>
      </c>
      <c r="M4" s="5" t="inlineStr">
        <is>
          <t>Religion, ritual and Daoism</t>
        </is>
      </c>
      <c r="N4" s="5" t="inlineStr">
        <is>
          <t>Politics, state and law</t>
        </is>
      </c>
      <c r="O4" s="5" t="inlineStr">
        <is>
          <t>Translations and classics</t>
        </is>
      </c>
    </row>
    <row r="5">
      <c r="A5" t="inlineStr">
        <is>
          <t>2019</t>
        </is>
      </c>
      <c r="B5" t="inlineStr">
        <is>
          <t>1880s</t>
        </is>
      </c>
      <c r="C5" t="n">
        <v>23</v>
      </c>
      <c r="D5" t="n">
        <v>0</v>
      </c>
      <c r="E5" t="n">
        <v>13</v>
      </c>
      <c r="F5" t="n">
        <v>13</v>
      </c>
      <c r="G5" t="n">
        <v>8.699999999999999</v>
      </c>
      <c r="H5" t="n">
        <v>8.699999999999999</v>
      </c>
      <c r="I5" t="n">
        <v>0</v>
      </c>
      <c r="J5" t="n">
        <v>4.3</v>
      </c>
      <c r="K5" t="n">
        <v>0</v>
      </c>
      <c r="L5" t="n">
        <v>21.7</v>
      </c>
      <c r="M5" t="n">
        <v>8.699999999999999</v>
      </c>
      <c r="N5" t="n">
        <v>8.699999999999999</v>
      </c>
      <c r="O5" t="n">
        <v>13</v>
      </c>
    </row>
    <row r="6">
      <c r="A6" t="inlineStr">
        <is>
          <t>2019</t>
        </is>
      </c>
      <c r="B6" t="inlineStr">
        <is>
          <t>1890s</t>
        </is>
      </c>
      <c r="C6" t="n">
        <v>25</v>
      </c>
      <c r="D6" t="n">
        <v>0</v>
      </c>
      <c r="E6" t="n">
        <v>8</v>
      </c>
      <c r="F6" t="n">
        <v>12</v>
      </c>
      <c r="G6" t="n">
        <v>0</v>
      </c>
      <c r="H6" t="n">
        <v>16</v>
      </c>
      <c r="I6" t="n">
        <v>4</v>
      </c>
      <c r="J6" t="n">
        <v>8</v>
      </c>
      <c r="K6" t="n">
        <v>4</v>
      </c>
      <c r="L6" t="n">
        <v>12</v>
      </c>
      <c r="M6" t="n">
        <v>12</v>
      </c>
      <c r="N6" t="n">
        <v>8</v>
      </c>
      <c r="O6" t="n">
        <v>16</v>
      </c>
    </row>
    <row r="7">
      <c r="A7" t="inlineStr">
        <is>
          <t>2019</t>
        </is>
      </c>
      <c r="B7" t="inlineStr">
        <is>
          <t>1900s</t>
        </is>
      </c>
      <c r="C7" t="n">
        <v>38</v>
      </c>
      <c r="D7" t="n">
        <v>0</v>
      </c>
      <c r="E7" t="n">
        <v>7.9</v>
      </c>
      <c r="F7" t="n">
        <v>13.2</v>
      </c>
      <c r="G7" t="n">
        <v>5.3</v>
      </c>
      <c r="H7" t="n">
        <v>13.2</v>
      </c>
      <c r="I7" t="n">
        <v>7.9</v>
      </c>
      <c r="J7" t="n">
        <v>10.5</v>
      </c>
      <c r="K7" t="n">
        <v>5.3</v>
      </c>
      <c r="L7" t="n">
        <v>13.2</v>
      </c>
      <c r="M7" t="n">
        <v>2.6</v>
      </c>
      <c r="N7" t="n">
        <v>10.5</v>
      </c>
      <c r="O7" t="n">
        <v>10.5</v>
      </c>
    </row>
    <row r="8">
      <c r="A8" t="inlineStr">
        <is>
          <t>2019</t>
        </is>
      </c>
      <c r="B8" t="inlineStr">
        <is>
          <t>1910s</t>
        </is>
      </c>
      <c r="C8" t="n">
        <v>59</v>
      </c>
      <c r="D8" t="n">
        <v>1.7</v>
      </c>
      <c r="E8" t="n">
        <v>3.4</v>
      </c>
      <c r="F8" t="n">
        <v>10.2</v>
      </c>
      <c r="G8" t="n">
        <v>11.9</v>
      </c>
      <c r="H8" t="n">
        <v>5.1</v>
      </c>
      <c r="I8" t="n">
        <v>3.4</v>
      </c>
      <c r="J8" t="n">
        <v>11.9</v>
      </c>
      <c r="K8" t="n">
        <v>10.2</v>
      </c>
      <c r="L8" t="n">
        <v>3.4</v>
      </c>
      <c r="M8" t="n">
        <v>16.9</v>
      </c>
      <c r="N8" t="n">
        <v>5.1</v>
      </c>
      <c r="O8" t="n">
        <v>16.9</v>
      </c>
    </row>
    <row r="9">
      <c r="A9" t="inlineStr">
        <is>
          <t>2019</t>
        </is>
      </c>
      <c r="B9" t="inlineStr">
        <is>
          <t>1920s</t>
        </is>
      </c>
      <c r="C9" t="n">
        <v>136</v>
      </c>
      <c r="D9" t="n">
        <v>0</v>
      </c>
      <c r="E9" t="n">
        <v>15.4</v>
      </c>
      <c r="F9" t="n">
        <v>5.9</v>
      </c>
      <c r="G9" t="n">
        <v>5.1</v>
      </c>
      <c r="H9" t="n">
        <v>9.6</v>
      </c>
      <c r="I9" t="n">
        <v>4.4</v>
      </c>
      <c r="J9" t="n">
        <v>7.4</v>
      </c>
      <c r="K9" t="n">
        <v>5.9</v>
      </c>
      <c r="L9" t="n">
        <v>7.4</v>
      </c>
      <c r="M9" t="n">
        <v>11.8</v>
      </c>
      <c r="N9" t="n">
        <v>11.8</v>
      </c>
      <c r="O9" t="n">
        <v>15.4</v>
      </c>
    </row>
    <row r="10">
      <c r="A10" t="inlineStr">
        <is>
          <t>2019</t>
        </is>
      </c>
      <c r="B10" t="inlineStr">
        <is>
          <t>1930s</t>
        </is>
      </c>
      <c r="C10" t="n">
        <v>169</v>
      </c>
      <c r="D10" t="n">
        <v>2.4</v>
      </c>
      <c r="E10" t="n">
        <v>10.7</v>
      </c>
      <c r="F10" t="n">
        <v>8.9</v>
      </c>
      <c r="G10" t="n">
        <v>7.1</v>
      </c>
      <c r="H10" t="n">
        <v>9.5</v>
      </c>
      <c r="I10" t="n">
        <v>10.1</v>
      </c>
      <c r="J10" t="n">
        <v>7.7</v>
      </c>
      <c r="K10" t="n">
        <v>7.7</v>
      </c>
      <c r="L10" t="n">
        <v>6.5</v>
      </c>
      <c r="M10" t="n">
        <v>4.1</v>
      </c>
      <c r="N10" t="n">
        <v>5.3</v>
      </c>
      <c r="O10" t="n">
        <v>20.1</v>
      </c>
    </row>
    <row r="11">
      <c r="A11" t="inlineStr">
        <is>
          <t>2019</t>
        </is>
      </c>
      <c r="B11" t="inlineStr">
        <is>
          <t>1940s</t>
        </is>
      </c>
      <c r="C11" t="n">
        <v>138</v>
      </c>
      <c r="D11" t="n">
        <v>1.4</v>
      </c>
      <c r="E11" t="n">
        <v>9.4</v>
      </c>
      <c r="F11" t="n">
        <v>9.4</v>
      </c>
      <c r="G11" t="n">
        <v>1.4</v>
      </c>
      <c r="H11" t="n">
        <v>8.699999999999999</v>
      </c>
      <c r="I11" t="n">
        <v>13.8</v>
      </c>
      <c r="J11" t="n">
        <v>6.5</v>
      </c>
      <c r="K11" t="n">
        <v>8</v>
      </c>
      <c r="L11" t="n">
        <v>10.9</v>
      </c>
      <c r="M11" t="n">
        <v>8</v>
      </c>
      <c r="N11" t="n">
        <v>8</v>
      </c>
      <c r="O11" t="n">
        <v>14.5</v>
      </c>
    </row>
    <row r="12">
      <c r="A12" t="inlineStr">
        <is>
          <t>2019</t>
        </is>
      </c>
      <c r="B12" t="inlineStr">
        <is>
          <t>1950s</t>
        </is>
      </c>
      <c r="C12" t="n">
        <v>240</v>
      </c>
      <c r="D12" t="n">
        <v>2.5</v>
      </c>
      <c r="E12" t="n">
        <v>7.9</v>
      </c>
      <c r="F12" t="n">
        <v>7.1</v>
      </c>
      <c r="G12" t="n">
        <v>4.2</v>
      </c>
      <c r="H12" t="n">
        <v>8.300000000000001</v>
      </c>
      <c r="I12" t="n">
        <v>11.7</v>
      </c>
      <c r="J12" t="n">
        <v>6.7</v>
      </c>
      <c r="K12" t="n">
        <v>2.5</v>
      </c>
      <c r="L12" t="n">
        <v>10</v>
      </c>
      <c r="M12" t="n">
        <v>5.4</v>
      </c>
      <c r="N12" t="n">
        <v>12.5</v>
      </c>
      <c r="O12" t="n">
        <v>21.2</v>
      </c>
    </row>
    <row r="13">
      <c r="A13" t="inlineStr">
        <is>
          <t>2019</t>
        </is>
      </c>
      <c r="B13" t="inlineStr">
        <is>
          <t>1960s</t>
        </is>
      </c>
      <c r="C13" t="n">
        <v>361</v>
      </c>
      <c r="D13" t="n">
        <v>2.2</v>
      </c>
      <c r="E13" t="n">
        <v>9.1</v>
      </c>
      <c r="F13" t="n">
        <v>13.6</v>
      </c>
      <c r="G13" t="n">
        <v>5.5</v>
      </c>
      <c r="H13" t="n">
        <v>7.2</v>
      </c>
      <c r="I13" t="n">
        <v>9.4</v>
      </c>
      <c r="J13" t="n">
        <v>2.5</v>
      </c>
      <c r="K13" t="n">
        <v>7.2</v>
      </c>
      <c r="L13" t="n">
        <v>11.4</v>
      </c>
      <c r="M13" t="n">
        <v>5.3</v>
      </c>
      <c r="N13" t="n">
        <v>13</v>
      </c>
      <c r="O13" t="n">
        <v>13.6</v>
      </c>
    </row>
    <row r="14">
      <c r="A14" t="inlineStr">
        <is>
          <t>2019</t>
        </is>
      </c>
      <c r="B14" t="inlineStr">
        <is>
          <t>1970s</t>
        </is>
      </c>
      <c r="C14" t="n">
        <v>613</v>
      </c>
      <c r="D14" t="n">
        <v>3.8</v>
      </c>
      <c r="E14" t="n">
        <v>8.800000000000001</v>
      </c>
      <c r="F14" t="n">
        <v>11.6</v>
      </c>
      <c r="G14" t="n">
        <v>5.1</v>
      </c>
      <c r="H14" t="n">
        <v>9.1</v>
      </c>
      <c r="I14" t="n">
        <v>11.3</v>
      </c>
      <c r="J14" t="n">
        <v>4.4</v>
      </c>
      <c r="K14" t="n">
        <v>5.2</v>
      </c>
      <c r="L14" t="n">
        <v>8.6</v>
      </c>
      <c r="M14" t="n">
        <v>7.5</v>
      </c>
      <c r="N14" t="n">
        <v>9.300000000000001</v>
      </c>
      <c r="O14" t="n">
        <v>15.3</v>
      </c>
    </row>
    <row r="15">
      <c r="A15" t="inlineStr">
        <is>
          <t>2019</t>
        </is>
      </c>
      <c r="B15" t="inlineStr">
        <is>
          <t>1980s</t>
        </is>
      </c>
      <c r="C15" t="n">
        <v>1060</v>
      </c>
      <c r="D15" t="n">
        <v>4.1</v>
      </c>
      <c r="E15" t="n">
        <v>8.699999999999999</v>
      </c>
      <c r="F15" t="n">
        <v>8.9</v>
      </c>
      <c r="G15" t="n">
        <v>6</v>
      </c>
      <c r="H15" t="n">
        <v>7.5</v>
      </c>
      <c r="I15" t="n">
        <v>10.1</v>
      </c>
      <c r="J15" t="n">
        <v>7.3</v>
      </c>
      <c r="K15" t="n">
        <v>6.7</v>
      </c>
      <c r="L15" t="n">
        <v>10.3</v>
      </c>
      <c r="M15" t="n">
        <v>8.9</v>
      </c>
      <c r="N15" t="n">
        <v>9.1</v>
      </c>
      <c r="O15" t="n">
        <v>12.6</v>
      </c>
    </row>
    <row r="16">
      <c r="A16" t="inlineStr">
        <is>
          <t>2019</t>
        </is>
      </c>
      <c r="B16" t="inlineStr">
        <is>
          <t>1990s</t>
        </is>
      </c>
      <c r="C16" t="n">
        <v>2130</v>
      </c>
      <c r="D16" t="n">
        <v>5.3</v>
      </c>
      <c r="E16" t="n">
        <v>8.800000000000001</v>
      </c>
      <c r="F16" t="n">
        <v>6.2</v>
      </c>
      <c r="G16" t="n">
        <v>10.8</v>
      </c>
      <c r="H16" t="n">
        <v>7.4</v>
      </c>
      <c r="I16" t="n">
        <v>9.4</v>
      </c>
      <c r="J16" t="n">
        <v>7.6</v>
      </c>
      <c r="K16" t="n">
        <v>8.800000000000001</v>
      </c>
      <c r="L16" t="n">
        <v>9.6</v>
      </c>
      <c r="M16" t="n">
        <v>8.300000000000001</v>
      </c>
      <c r="N16" t="n">
        <v>8</v>
      </c>
      <c r="O16" t="n">
        <v>9.9</v>
      </c>
    </row>
    <row r="17">
      <c r="A17" t="inlineStr">
        <is>
          <t>2019</t>
        </is>
      </c>
      <c r="B17" t="inlineStr">
        <is>
          <t>2000s</t>
        </is>
      </c>
      <c r="C17" t="n">
        <v>3632</v>
      </c>
      <c r="D17" t="n">
        <v>9.6</v>
      </c>
      <c r="E17" t="n">
        <v>7.9</v>
      </c>
      <c r="F17" t="n">
        <v>5.7</v>
      </c>
      <c r="G17" t="n">
        <v>10.5</v>
      </c>
      <c r="H17" t="n">
        <v>8.6</v>
      </c>
      <c r="I17" t="n">
        <v>7.6</v>
      </c>
      <c r="J17" t="n">
        <v>8.5</v>
      </c>
      <c r="K17" t="n">
        <v>9</v>
      </c>
      <c r="L17" t="n">
        <v>9.9</v>
      </c>
      <c r="M17" t="n">
        <v>7</v>
      </c>
      <c r="N17" t="n">
        <v>8.4</v>
      </c>
      <c r="O17" t="n">
        <v>7.3</v>
      </c>
    </row>
    <row r="18">
      <c r="A18" t="inlineStr">
        <is>
          <t>2019</t>
        </is>
      </c>
      <c r="B18" t="inlineStr">
        <is>
          <t>2010s</t>
        </is>
      </c>
      <c r="C18" t="n">
        <v>3544</v>
      </c>
      <c r="D18" t="n">
        <v>10.5</v>
      </c>
      <c r="E18" t="n">
        <v>7.3</v>
      </c>
      <c r="F18" t="n">
        <v>5.9</v>
      </c>
      <c r="G18" t="n">
        <v>11.9</v>
      </c>
      <c r="H18" t="n">
        <v>7.7</v>
      </c>
      <c r="I18" t="n">
        <v>6.5</v>
      </c>
      <c r="J18" t="n">
        <v>8.9</v>
      </c>
      <c r="K18" t="n">
        <v>10</v>
      </c>
      <c r="L18" t="n">
        <v>9</v>
      </c>
      <c r="M18" t="n">
        <v>5.8</v>
      </c>
      <c r="N18" t="n">
        <v>9.699999999999999</v>
      </c>
      <c r="O18" t="n">
        <v>6.9</v>
      </c>
    </row>
    <row r="19">
      <c r="A19" t="inlineStr">
        <is>
          <t>2026</t>
        </is>
      </c>
      <c r="B19" t="inlineStr">
        <is>
          <t>1870s</t>
        </is>
      </c>
      <c r="C19" t="n">
        <v>21</v>
      </c>
      <c r="D19" t="n">
        <v>4.8</v>
      </c>
      <c r="E19" t="n">
        <v>14.3</v>
      </c>
      <c r="F19" t="n">
        <v>0</v>
      </c>
      <c r="G19" t="n">
        <v>4.8</v>
      </c>
      <c r="H19" t="n">
        <v>9.5</v>
      </c>
      <c r="I19" t="n">
        <v>0</v>
      </c>
      <c r="J19" t="n">
        <v>9.5</v>
      </c>
      <c r="K19" t="n">
        <v>4.8</v>
      </c>
      <c r="L19" t="n">
        <v>14.3</v>
      </c>
      <c r="M19" t="n">
        <v>9.5</v>
      </c>
      <c r="N19" t="n">
        <v>9.5</v>
      </c>
      <c r="O19" t="n">
        <v>19</v>
      </c>
    </row>
    <row r="20">
      <c r="A20" t="inlineStr">
        <is>
          <t>2026</t>
        </is>
      </c>
      <c r="B20" t="inlineStr">
        <is>
          <t>1880s</t>
        </is>
      </c>
      <c r="C20" t="n">
        <v>29</v>
      </c>
      <c r="D20" t="n">
        <v>0</v>
      </c>
      <c r="E20" t="n">
        <v>10.3</v>
      </c>
      <c r="F20" t="n">
        <v>10.3</v>
      </c>
      <c r="G20" t="n">
        <v>6.9</v>
      </c>
      <c r="H20" t="n">
        <v>6.9</v>
      </c>
      <c r="I20" t="n">
        <v>3.4</v>
      </c>
      <c r="J20" t="n">
        <v>6.9</v>
      </c>
      <c r="K20" t="n">
        <v>0</v>
      </c>
      <c r="L20" t="n">
        <v>27.6</v>
      </c>
      <c r="M20" t="n">
        <v>10.3</v>
      </c>
      <c r="N20" t="n">
        <v>6.9</v>
      </c>
      <c r="O20" t="n">
        <v>10.3</v>
      </c>
    </row>
    <row r="21">
      <c r="A21" t="inlineStr">
        <is>
          <t>2026</t>
        </is>
      </c>
      <c r="B21" t="inlineStr">
        <is>
          <t>1890s</t>
        </is>
      </c>
      <c r="C21" t="n">
        <v>27</v>
      </c>
      <c r="D21" t="n">
        <v>0</v>
      </c>
      <c r="E21" t="n">
        <v>7.4</v>
      </c>
      <c r="F21" t="n">
        <v>11.1</v>
      </c>
      <c r="G21" t="n">
        <v>0</v>
      </c>
      <c r="H21" t="n">
        <v>14.8</v>
      </c>
      <c r="I21" t="n">
        <v>3.7</v>
      </c>
      <c r="J21" t="n">
        <v>7.4</v>
      </c>
      <c r="K21" t="n">
        <v>3.7</v>
      </c>
      <c r="L21" t="n">
        <v>11.1</v>
      </c>
      <c r="M21" t="n">
        <v>18.5</v>
      </c>
      <c r="N21" t="n">
        <v>7.4</v>
      </c>
      <c r="O21" t="n">
        <v>14.8</v>
      </c>
    </row>
    <row r="22">
      <c r="A22" t="inlineStr">
        <is>
          <t>2026</t>
        </is>
      </c>
      <c r="B22" t="inlineStr">
        <is>
          <t>1900s</t>
        </is>
      </c>
      <c r="C22" t="n">
        <v>39</v>
      </c>
      <c r="D22" t="n">
        <v>0</v>
      </c>
      <c r="E22" t="n">
        <v>7.7</v>
      </c>
      <c r="F22" t="n">
        <v>12.8</v>
      </c>
      <c r="G22" t="n">
        <v>5.1</v>
      </c>
      <c r="H22" t="n">
        <v>12.8</v>
      </c>
      <c r="I22" t="n">
        <v>7.7</v>
      </c>
      <c r="J22" t="n">
        <v>10.3</v>
      </c>
      <c r="K22" t="n">
        <v>5.1</v>
      </c>
      <c r="L22" t="n">
        <v>12.8</v>
      </c>
      <c r="M22" t="n">
        <v>2.6</v>
      </c>
      <c r="N22" t="n">
        <v>10.3</v>
      </c>
      <c r="O22" t="n">
        <v>12.8</v>
      </c>
    </row>
    <row r="23">
      <c r="A23" t="inlineStr">
        <is>
          <t>2026</t>
        </is>
      </c>
      <c r="B23" t="inlineStr">
        <is>
          <t>1910s</t>
        </is>
      </c>
      <c r="C23" t="n">
        <v>60</v>
      </c>
      <c r="D23" t="n">
        <v>1.7</v>
      </c>
      <c r="E23" t="n">
        <v>3.3</v>
      </c>
      <c r="F23" t="n">
        <v>10</v>
      </c>
      <c r="G23" t="n">
        <v>11.7</v>
      </c>
      <c r="H23" t="n">
        <v>5</v>
      </c>
      <c r="I23" t="n">
        <v>3.3</v>
      </c>
      <c r="J23" t="n">
        <v>11.7</v>
      </c>
      <c r="K23" t="n">
        <v>10</v>
      </c>
      <c r="L23" t="n">
        <v>5</v>
      </c>
      <c r="M23" t="n">
        <v>16.7</v>
      </c>
      <c r="N23" t="n">
        <v>5</v>
      </c>
      <c r="O23" t="n">
        <v>16.7</v>
      </c>
    </row>
    <row r="24">
      <c r="A24" t="inlineStr">
        <is>
          <t>2026</t>
        </is>
      </c>
      <c r="B24" t="inlineStr">
        <is>
          <t>1920s</t>
        </is>
      </c>
      <c r="C24" t="n">
        <v>136</v>
      </c>
      <c r="D24" t="n">
        <v>0</v>
      </c>
      <c r="E24" t="n">
        <v>15.4</v>
      </c>
      <c r="F24" t="n">
        <v>6.6</v>
      </c>
      <c r="G24" t="n">
        <v>5.1</v>
      </c>
      <c r="H24" t="n">
        <v>9.6</v>
      </c>
      <c r="I24" t="n">
        <v>4.4</v>
      </c>
      <c r="J24" t="n">
        <v>7.4</v>
      </c>
      <c r="K24" t="n">
        <v>5.9</v>
      </c>
      <c r="L24" t="n">
        <v>7.4</v>
      </c>
      <c r="M24" t="n">
        <v>11.8</v>
      </c>
      <c r="N24" t="n">
        <v>11.8</v>
      </c>
      <c r="O24" t="n">
        <v>14.7</v>
      </c>
    </row>
    <row r="25">
      <c r="A25" t="inlineStr">
        <is>
          <t>2026</t>
        </is>
      </c>
      <c r="B25" t="inlineStr">
        <is>
          <t>1930s</t>
        </is>
      </c>
      <c r="C25" t="n">
        <v>169</v>
      </c>
      <c r="D25" t="n">
        <v>2.4</v>
      </c>
      <c r="E25" t="n">
        <v>10.7</v>
      </c>
      <c r="F25" t="n">
        <v>9.5</v>
      </c>
      <c r="G25" t="n">
        <v>7.1</v>
      </c>
      <c r="H25" t="n">
        <v>9.5</v>
      </c>
      <c r="I25" t="n">
        <v>10.1</v>
      </c>
      <c r="J25" t="n">
        <v>7.7</v>
      </c>
      <c r="K25" t="n">
        <v>7.1</v>
      </c>
      <c r="L25" t="n">
        <v>6.5</v>
      </c>
      <c r="M25" t="n">
        <v>4.1</v>
      </c>
      <c r="N25" t="n">
        <v>5.9</v>
      </c>
      <c r="O25" t="n">
        <v>19.5</v>
      </c>
    </row>
    <row r="26">
      <c r="A26" t="inlineStr">
        <is>
          <t>2026</t>
        </is>
      </c>
      <c r="B26" t="inlineStr">
        <is>
          <t>1940s</t>
        </is>
      </c>
      <c r="C26" t="n">
        <v>139</v>
      </c>
      <c r="D26" t="n">
        <v>1.4</v>
      </c>
      <c r="E26" t="n">
        <v>9.4</v>
      </c>
      <c r="F26" t="n">
        <v>10.1</v>
      </c>
      <c r="G26" t="n">
        <v>1.4</v>
      </c>
      <c r="H26" t="n">
        <v>8.6</v>
      </c>
      <c r="I26" t="n">
        <v>13.7</v>
      </c>
      <c r="J26" t="n">
        <v>6.5</v>
      </c>
      <c r="K26" t="n">
        <v>7.9</v>
      </c>
      <c r="L26" t="n">
        <v>10.8</v>
      </c>
      <c r="M26" t="n">
        <v>7.9</v>
      </c>
      <c r="N26" t="n">
        <v>7.9</v>
      </c>
      <c r="O26" t="n">
        <v>14.4</v>
      </c>
    </row>
    <row r="27">
      <c r="A27" t="inlineStr">
        <is>
          <t>2026</t>
        </is>
      </c>
      <c r="B27" t="inlineStr">
        <is>
          <t>1950s</t>
        </is>
      </c>
      <c r="C27" t="n">
        <v>250</v>
      </c>
      <c r="D27" t="n">
        <v>2.4</v>
      </c>
      <c r="E27" t="n">
        <v>7.6</v>
      </c>
      <c r="F27" t="n">
        <v>7.6</v>
      </c>
      <c r="G27" t="n">
        <v>4</v>
      </c>
      <c r="H27" t="n">
        <v>8.4</v>
      </c>
      <c r="I27" t="n">
        <v>11.2</v>
      </c>
      <c r="J27" t="n">
        <v>6.8</v>
      </c>
      <c r="K27" t="n">
        <v>2.4</v>
      </c>
      <c r="L27" t="n">
        <v>10.8</v>
      </c>
      <c r="M27" t="n">
        <v>5.2</v>
      </c>
      <c r="N27" t="n">
        <v>12.4</v>
      </c>
      <c r="O27" t="n">
        <v>21.2</v>
      </c>
    </row>
    <row r="28">
      <c r="A28" t="inlineStr">
        <is>
          <t>2026</t>
        </is>
      </c>
      <c r="B28" t="inlineStr">
        <is>
          <t>1960s</t>
        </is>
      </c>
      <c r="C28" t="n">
        <v>370</v>
      </c>
      <c r="D28" t="n">
        <v>2.2</v>
      </c>
      <c r="E28" t="n">
        <v>9.199999999999999</v>
      </c>
      <c r="F28" t="n">
        <v>13.2</v>
      </c>
      <c r="G28" t="n">
        <v>5.9</v>
      </c>
      <c r="H28" t="n">
        <v>7.3</v>
      </c>
      <c r="I28" t="n">
        <v>10</v>
      </c>
      <c r="J28" t="n">
        <v>2.4</v>
      </c>
      <c r="K28" t="n">
        <v>7.6</v>
      </c>
      <c r="L28" t="n">
        <v>11.6</v>
      </c>
      <c r="M28" t="n">
        <v>5.1</v>
      </c>
      <c r="N28" t="n">
        <v>12.2</v>
      </c>
      <c r="O28" t="n">
        <v>13.2</v>
      </c>
    </row>
    <row r="29">
      <c r="A29" t="inlineStr">
        <is>
          <t>2026</t>
        </is>
      </c>
      <c r="B29" t="inlineStr">
        <is>
          <t>1970s</t>
        </is>
      </c>
      <c r="C29" t="n">
        <v>627</v>
      </c>
      <c r="D29" t="n">
        <v>3.7</v>
      </c>
      <c r="E29" t="n">
        <v>8.9</v>
      </c>
      <c r="F29" t="n">
        <v>12.1</v>
      </c>
      <c r="G29" t="n">
        <v>5.1</v>
      </c>
      <c r="H29" t="n">
        <v>9.300000000000001</v>
      </c>
      <c r="I29" t="n">
        <v>11.2</v>
      </c>
      <c r="J29" t="n">
        <v>4.3</v>
      </c>
      <c r="K29" t="n">
        <v>5.4</v>
      </c>
      <c r="L29" t="n">
        <v>8.6</v>
      </c>
      <c r="M29" t="n">
        <v>7.5</v>
      </c>
      <c r="N29" t="n">
        <v>9.1</v>
      </c>
      <c r="O29" t="n">
        <v>14.8</v>
      </c>
    </row>
    <row r="30">
      <c r="A30" t="inlineStr">
        <is>
          <t>2026</t>
        </is>
      </c>
      <c r="B30" t="inlineStr">
        <is>
          <t>1980s</t>
        </is>
      </c>
      <c r="C30" t="n">
        <v>1072</v>
      </c>
      <c r="D30" t="n">
        <v>4</v>
      </c>
      <c r="E30" t="n">
        <v>8.800000000000001</v>
      </c>
      <c r="F30" t="n">
        <v>8.800000000000001</v>
      </c>
      <c r="G30" t="n">
        <v>5.9</v>
      </c>
      <c r="H30" t="n">
        <v>7.7</v>
      </c>
      <c r="I30" t="n">
        <v>10.2</v>
      </c>
      <c r="J30" t="n">
        <v>7.1</v>
      </c>
      <c r="K30" t="n">
        <v>6.5</v>
      </c>
      <c r="L30" t="n">
        <v>10.2</v>
      </c>
      <c r="M30" t="n">
        <v>8.9</v>
      </c>
      <c r="N30" t="n">
        <v>9.199999999999999</v>
      </c>
      <c r="O30" t="n">
        <v>12.8</v>
      </c>
    </row>
    <row r="31">
      <c r="A31" t="inlineStr">
        <is>
          <t>2026</t>
        </is>
      </c>
      <c r="B31" t="inlineStr">
        <is>
          <t>1990s</t>
        </is>
      </c>
      <c r="C31" t="n">
        <v>2136</v>
      </c>
      <c r="D31" t="n">
        <v>5.4</v>
      </c>
      <c r="E31" t="n">
        <v>8.9</v>
      </c>
      <c r="F31" t="n">
        <v>6.1</v>
      </c>
      <c r="G31" t="n">
        <v>10.9</v>
      </c>
      <c r="H31" t="n">
        <v>7.4</v>
      </c>
      <c r="I31" t="n">
        <v>9.300000000000001</v>
      </c>
      <c r="J31" t="n">
        <v>7.6</v>
      </c>
      <c r="K31" t="n">
        <v>8.699999999999999</v>
      </c>
      <c r="L31" t="n">
        <v>9.800000000000001</v>
      </c>
      <c r="M31" t="n">
        <v>8.1</v>
      </c>
      <c r="N31" t="n">
        <v>7.9</v>
      </c>
      <c r="O31" t="n">
        <v>9.9</v>
      </c>
    </row>
    <row r="32">
      <c r="A32" t="inlineStr">
        <is>
          <t>2026</t>
        </is>
      </c>
      <c r="B32" t="inlineStr">
        <is>
          <t>2000s</t>
        </is>
      </c>
      <c r="C32" t="n">
        <v>3716</v>
      </c>
      <c r="D32" t="n">
        <v>9.6</v>
      </c>
      <c r="E32" t="n">
        <v>8</v>
      </c>
      <c r="F32" t="n">
        <v>5.6</v>
      </c>
      <c r="G32" t="n">
        <v>10.3</v>
      </c>
      <c r="H32" t="n">
        <v>8.6</v>
      </c>
      <c r="I32" t="n">
        <v>7.9</v>
      </c>
      <c r="J32" t="n">
        <v>8.4</v>
      </c>
      <c r="K32" t="n">
        <v>8.800000000000001</v>
      </c>
      <c r="L32" t="n">
        <v>9.9</v>
      </c>
      <c r="M32" t="n">
        <v>7.1</v>
      </c>
      <c r="N32" t="n">
        <v>8.4</v>
      </c>
      <c r="O32" t="n">
        <v>7.3</v>
      </c>
    </row>
    <row r="33">
      <c r="A33" t="inlineStr">
        <is>
          <t>2026</t>
        </is>
      </c>
      <c r="B33" t="inlineStr">
        <is>
          <t>2010s</t>
        </is>
      </c>
      <c r="C33" t="n">
        <v>4672</v>
      </c>
      <c r="D33" t="n">
        <v>9.800000000000001</v>
      </c>
      <c r="E33" t="n">
        <v>7.1</v>
      </c>
      <c r="F33" t="n">
        <v>6</v>
      </c>
      <c r="G33" t="n">
        <v>11.6</v>
      </c>
      <c r="H33" t="n">
        <v>8.199999999999999</v>
      </c>
      <c r="I33" t="n">
        <v>7.1</v>
      </c>
      <c r="J33" t="n">
        <v>8.5</v>
      </c>
      <c r="K33" t="n">
        <v>10</v>
      </c>
      <c r="L33" t="n">
        <v>10.1</v>
      </c>
      <c r="M33" t="n">
        <v>5.1</v>
      </c>
      <c r="N33" t="n">
        <v>9.800000000000001</v>
      </c>
      <c r="O33" t="n">
        <v>6.6</v>
      </c>
    </row>
    <row r="34">
      <c r="A34" t="inlineStr">
        <is>
          <t>2026</t>
        </is>
      </c>
      <c r="B34" t="inlineStr">
        <is>
          <t>2020s</t>
        </is>
      </c>
      <c r="C34" t="n">
        <v>3414</v>
      </c>
      <c r="D34" t="n">
        <v>6.2</v>
      </c>
      <c r="E34" t="n">
        <v>7.9</v>
      </c>
      <c r="F34" t="n">
        <v>5.1</v>
      </c>
      <c r="G34" t="n">
        <v>15.3</v>
      </c>
      <c r="H34" t="n">
        <v>8.800000000000001</v>
      </c>
      <c r="I34" t="n">
        <v>7.9</v>
      </c>
      <c r="J34" t="n">
        <v>8.199999999999999</v>
      </c>
      <c r="K34" t="n">
        <v>9.199999999999999</v>
      </c>
      <c r="L34" t="n">
        <v>9.699999999999999</v>
      </c>
      <c r="M34" t="n">
        <v>4.7</v>
      </c>
      <c r="N34" t="n">
        <v>10.7</v>
      </c>
      <c r="O34" t="n">
        <v>6.3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6" customWidth="1" min="4" max="4"/>
    <col width="28" customWidth="1" min="5" max="5"/>
  </cols>
  <sheetData>
    <row r="1">
      <c r="A1" s="4" t="inlineStr">
        <is>
          <t>Parser accuracy against the full check of the 2019 edition</t>
        </is>
      </c>
    </row>
    <row r="2">
      <c r="A2" s="6" t="inlineStr">
        <is>
          <t>About 4,300 corrections in total; re-running the analysis on corrected data changed no conclusion.</t>
        </is>
      </c>
    </row>
    <row r="4">
      <c r="A4" s="5" t="inlineStr">
        <is>
          <t>Field</t>
        </is>
      </c>
      <c r="B4" s="5" t="inlineStr">
        <is>
          <t>Entries judged</t>
        </is>
      </c>
      <c r="C4" s="5" t="inlineStr">
        <is>
          <t>Errors (first parser)</t>
        </is>
      </c>
      <c r="D4" s="5" t="inlineStr">
        <is>
          <t>Accuracy, first parser (%)</t>
        </is>
      </c>
      <c r="E4" s="5" t="inlineStr">
        <is>
          <t>Accuracy, improved parser (%)</t>
        </is>
      </c>
    </row>
    <row r="5">
      <c r="A5" t="inlineStr">
        <is>
          <t>Contributor names</t>
        </is>
      </c>
      <c r="B5" t="n">
        <v>12212</v>
      </c>
      <c r="C5" t="n">
        <v>604</v>
      </c>
      <c r="D5" t="n">
        <v>95.05</v>
      </c>
      <c r="E5" t="n">
        <v>97.59</v>
      </c>
    </row>
    <row r="6">
      <c r="A6" t="inlineStr">
        <is>
          <t>Contributor count</t>
        </is>
      </c>
      <c r="B6" t="n">
        <v>12212</v>
      </c>
      <c r="C6" t="n">
        <v>434</v>
      </c>
      <c r="D6" t="n">
        <v>96.45</v>
      </c>
      <c r="E6" t="n">
        <v>99.56</v>
      </c>
    </row>
    <row r="7">
      <c r="A7" t="inlineStr">
        <is>
          <t>Contributor order</t>
        </is>
      </c>
      <c r="B7" t="n">
        <v>12212</v>
      </c>
      <c r="C7" t="n">
        <v>0</v>
      </c>
      <c r="D7" t="n">
        <v>100</v>
      </c>
      <c r="E7" t="n">
        <v>100</v>
      </c>
    </row>
    <row r="8">
      <c r="A8" t="inlineStr">
        <is>
          <t>Contributor roles</t>
        </is>
      </c>
      <c r="B8" t="n">
        <v>12212</v>
      </c>
      <c r="C8" t="n">
        <v>31</v>
      </c>
      <c r="D8" t="n">
        <v>99.75</v>
      </c>
      <c r="E8" t="n">
        <v>99.55</v>
      </c>
    </row>
    <row r="9">
      <c r="A9" t="inlineStr">
        <is>
          <t>Title</t>
        </is>
      </c>
      <c r="B9" t="n">
        <v>12212</v>
      </c>
      <c r="C9" t="n">
        <v>142</v>
      </c>
      <c r="D9" t="n">
        <v>98.84</v>
      </c>
      <c r="E9" t="n">
        <v>99.03</v>
      </c>
    </row>
    <row r="10">
      <c r="A10" t="inlineStr">
        <is>
          <t>Year</t>
        </is>
      </c>
      <c r="B10" t="n">
        <v>12212</v>
      </c>
      <c r="C10" t="n">
        <v>867</v>
      </c>
      <c r="D10" t="n">
        <v>92.90000000000001</v>
      </c>
      <c r="E10" t="n">
        <v>95.13</v>
      </c>
    </row>
    <row r="11">
      <c r="A11" t="inlineStr">
        <is>
          <t>Year source</t>
        </is>
      </c>
      <c r="B11" t="n">
        <v>12212</v>
      </c>
      <c r="C11" t="n">
        <v>794</v>
      </c>
      <c r="D11" t="n">
        <v>93.5</v>
      </c>
      <c r="E11" t="n">
        <v>95.61</v>
      </c>
    </row>
    <row r="12">
      <c r="A12" t="inlineStr">
        <is>
          <t>Language</t>
        </is>
      </c>
      <c r="B12" t="n">
        <v>12211</v>
      </c>
      <c r="C12" t="n">
        <v>226</v>
      </c>
      <c r="D12" t="n">
        <v>98.15000000000001</v>
      </c>
      <c r="E12" t="n">
        <v>98.17</v>
      </c>
    </row>
    <row r="13">
      <c r="A13" t="inlineStr">
        <is>
          <t>Publication type</t>
        </is>
      </c>
      <c r="B13" t="n">
        <v>12212</v>
      </c>
      <c r="C13" t="n">
        <v>296</v>
      </c>
      <c r="D13" t="n">
        <v>97.58</v>
      </c>
      <c r="E13" t="n">
        <v>97.84999999999999</v>
      </c>
    </row>
    <row r="14">
      <c r="A14" t="inlineStr">
        <is>
          <t>Journal or book</t>
        </is>
      </c>
      <c r="B14" t="n">
        <v>12212</v>
      </c>
      <c r="C14" t="n">
        <v>1202</v>
      </c>
      <c r="D14" t="n">
        <v>90.16</v>
      </c>
      <c r="E14" t="n">
        <v>92.92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2026-10-04T05:59:49Z</dcterms:created>
  <dcterms:modified xmlns:dcterms="http://purl.org/dc/terms/" xmlns:xsi="http://www.w3.org/2001/XMLSchema-instance" xsi:type="dcterms:W3CDTF">2026-10-04T05:59:49Z</dcterms:modified>
</cp:coreProperties>
</file>